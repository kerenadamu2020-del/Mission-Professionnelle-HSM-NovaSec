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ot\Documents\M1-Cyber&amp;Management\Gestion de projet cyber\Dossier client Hôpital Sainte Marie\"/>
    </mc:Choice>
  </mc:AlternateContent>
  <xr:revisionPtr revIDLastSave="3" documentId="8_{DBF2F5A8-B8F6-4FBB-8B0C-F1C903F386C7}" xr6:coauthVersionLast="47" xr6:coauthVersionMax="47" xr10:uidLastSave="{83C10FE4-0383-481B-9364-B20424A6D10F}"/>
  <bookViews>
    <workbookView xWindow="28680" yWindow="-120" windowWidth="38640" windowHeight="21120" xr2:uid="{926C9AD3-B8A0-4534-96B0-201A23088F15}"/>
  </bookViews>
  <sheets>
    <sheet name="Planning &amp; Budg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F37" i="1"/>
  <c r="F38" i="1"/>
  <c r="F39" i="1"/>
  <c r="F40" i="1"/>
  <c r="F41" i="1"/>
  <c r="F42" i="1"/>
  <c r="F43" i="1"/>
  <c r="F44" i="1"/>
  <c r="D45" i="1"/>
  <c r="E45" i="1"/>
  <c r="F45" i="1" l="1"/>
</calcChain>
</file>

<file path=xl/sharedStrings.xml><?xml version="1.0" encoding="utf-8"?>
<sst xmlns="http://schemas.openxmlformats.org/spreadsheetml/2006/main" count="69" uniqueCount="49">
  <si>
    <t>Planning &amp; Budget – Projet Paperless RH</t>
  </si>
  <si>
    <r>
      <rPr>
        <b/>
        <sz val="12"/>
        <color theme="1"/>
        <rFont val="Arial Nova"/>
        <family val="2"/>
      </rPr>
      <t>Client :</t>
    </r>
    <r>
      <rPr>
        <sz val="12"/>
        <color theme="1"/>
        <rFont val="Arial Nova"/>
        <family val="2"/>
      </rPr>
      <t xml:space="preserve"> </t>
    </r>
    <r>
      <rPr>
        <b/>
        <sz val="14"/>
        <color rgb="FF85B4B5"/>
        <rFont val="Arial Nova"/>
        <family val="2"/>
      </rPr>
      <t>Hôpital Sainte‑Marie Laboratoire Bioclinique (HSM‑Bioclinique)</t>
    </r>
  </si>
  <si>
    <r>
      <rPr>
        <b/>
        <sz val="12"/>
        <color theme="1"/>
        <rFont val="Arial Nova"/>
        <family val="2"/>
      </rPr>
      <t>Cabinet prestataire :</t>
    </r>
    <r>
      <rPr>
        <sz val="12"/>
        <color theme="1"/>
        <rFont val="Arial Nova"/>
        <family val="2"/>
      </rPr>
      <t xml:space="preserve"> </t>
    </r>
    <r>
      <rPr>
        <b/>
        <sz val="14"/>
        <color rgb="FFF49768"/>
        <rFont val="Arial Nova"/>
        <family val="2"/>
      </rPr>
      <t>NovaSec Consulting</t>
    </r>
  </si>
  <si>
    <r>
      <rPr>
        <b/>
        <sz val="12"/>
        <color theme="1"/>
        <rFont val="Arial Nova"/>
        <family val="2"/>
      </rPr>
      <t>Date :</t>
    </r>
    <r>
      <rPr>
        <sz val="12"/>
        <color theme="1"/>
        <rFont val="Arial Nova"/>
        <family val="2"/>
      </rPr>
      <t xml:space="preserve"> 20/11/2025</t>
    </r>
  </si>
  <si>
    <r>
      <rPr>
        <b/>
        <sz val="12"/>
        <color theme="1"/>
        <rFont val="Arial Nova"/>
        <family val="2"/>
      </rPr>
      <t>Version :</t>
    </r>
    <r>
      <rPr>
        <sz val="12"/>
        <color theme="1"/>
        <rFont val="Arial Nova"/>
        <family val="2"/>
      </rPr>
      <t xml:space="preserve"> 1.0</t>
    </r>
  </si>
  <si>
    <r>
      <rPr>
        <b/>
        <sz val="12"/>
        <color theme="1"/>
        <rFont val="Arial Nova"/>
        <family val="2"/>
      </rPr>
      <t>Confidentialité :</t>
    </r>
    <r>
      <rPr>
        <sz val="12"/>
        <color theme="1"/>
        <rFont val="Arial Nova"/>
        <family val="2"/>
      </rPr>
      <t xml:space="preserve"> Confidentiel – Usage interne</t>
    </r>
  </si>
  <si>
    <t>Consultants / Auteurs :</t>
  </si>
  <si>
    <r>
      <rPr>
        <b/>
        <sz val="12"/>
        <color theme="1"/>
        <rFont val="Arial Nova"/>
        <family val="2"/>
      </rPr>
      <t>Loïc YAMGA</t>
    </r>
    <r>
      <rPr>
        <sz val="11"/>
        <color theme="1"/>
        <rFont val="Arial Nova"/>
        <family val="2"/>
      </rPr>
      <t xml:space="preserve"> – </t>
    </r>
    <r>
      <rPr>
        <sz val="12"/>
        <color theme="1"/>
        <rFont val="Arial Nova"/>
        <family val="2"/>
      </rPr>
      <t>Chef de mission / Lead cybersécurité &amp; méthodologie EBIOS-RM</t>
    </r>
  </si>
  <si>
    <r>
      <rPr>
        <b/>
        <sz val="12"/>
        <color theme="1"/>
        <rFont val="Arial Nova"/>
        <family val="2"/>
      </rPr>
      <t>Samuel KISSI-BI</t>
    </r>
    <r>
      <rPr>
        <sz val="12"/>
        <color theme="1"/>
        <rFont val="Arial Nova"/>
        <family val="2"/>
      </rPr>
      <t xml:space="preserve"> – Consultant Audit technique &amp; infrastructure</t>
    </r>
  </si>
  <si>
    <r>
      <rPr>
        <b/>
        <sz val="12"/>
        <color theme="1"/>
        <rFont val="Arial Nova"/>
        <family val="2"/>
      </rPr>
      <t>Célina NINKE</t>
    </r>
    <r>
      <rPr>
        <sz val="12"/>
        <color theme="1"/>
        <rFont val="Arial Nova"/>
        <family val="2"/>
      </rPr>
      <t xml:space="preserve"> – Consultante Conformité / RGPD / Gouvernance</t>
    </r>
  </si>
  <si>
    <r>
      <rPr>
        <b/>
        <sz val="12"/>
        <color theme="1"/>
        <rFont val="Arial Nova"/>
        <family val="2"/>
      </rPr>
      <t>Keren ADAMU</t>
    </r>
    <r>
      <rPr>
        <sz val="12"/>
        <color theme="1"/>
        <rFont val="Arial Nova"/>
        <family val="2"/>
      </rPr>
      <t xml:space="preserve"> – Consultante AMOA / Processus métiers &amp; organisation</t>
    </r>
  </si>
  <si>
    <r>
      <rPr>
        <b/>
        <sz val="12"/>
        <color theme="1"/>
        <rFont val="Arial Nova"/>
        <family val="2"/>
      </rPr>
      <t>Urich TAMO OUOGUE</t>
    </r>
    <r>
      <rPr>
        <sz val="12"/>
        <color theme="1"/>
        <rFont val="Arial Nova"/>
        <family val="2"/>
      </rPr>
      <t xml:space="preserve"> – Analyste sécurité / Inventaires &amp; vulnérabilités</t>
    </r>
  </si>
  <si>
    <t>Tableau : Planning &amp; Budget</t>
  </si>
  <si>
    <t>Phase / Tâche</t>
  </si>
  <si>
    <t>Responsable</t>
  </si>
  <si>
    <t>Durée (j)</t>
  </si>
  <si>
    <t>TJM (€)</t>
  </si>
  <si>
    <t>Total (€)</t>
  </si>
  <si>
    <t>Début</t>
  </si>
  <si>
    <t>Fin</t>
  </si>
  <si>
    <t>Dépendances</t>
  </si>
  <si>
    <t>Tâches critiques</t>
  </si>
  <si>
    <t>Statut</t>
  </si>
  <si>
    <t>Préparation mission</t>
  </si>
  <si>
    <t xml:space="preserve">Loïc YAMGA </t>
  </si>
  <si>
    <t xml:space="preserve">              -</t>
  </si>
  <si>
    <t>OUI</t>
  </si>
  <si>
    <t>En cours</t>
  </si>
  <si>
    <t>Atelier 1 – Cadrage</t>
  </si>
  <si>
    <t>Samuel KISSI-BI</t>
  </si>
  <si>
    <t>À faire</t>
  </si>
  <si>
    <t>Atelier 2 – Sources de risques</t>
  </si>
  <si>
    <t>Célina NINKE</t>
  </si>
  <si>
    <t>Atelier 1</t>
  </si>
  <si>
    <t>Atelier 3 – Scénarios stratégiques</t>
  </si>
  <si>
    <t>Keren ADALU</t>
  </si>
  <si>
    <t>Atelier 2</t>
  </si>
  <si>
    <t>Atelier 4 – Scénarios opérationnels</t>
  </si>
  <si>
    <t>Urich TAMO OUOGUE</t>
  </si>
  <si>
    <t>Atelier 3</t>
  </si>
  <si>
    <t>Atelier 5 – Traitement &amp; appréciation</t>
  </si>
  <si>
    <t>Atelier 4</t>
  </si>
  <si>
    <t>Analyse &amp; formalisation</t>
  </si>
  <si>
    <t>Atelier 5</t>
  </si>
  <si>
    <t>Restitution &amp; clôture</t>
  </si>
  <si>
    <t>Retours / Ajustements</t>
  </si>
  <si>
    <t>Restitution</t>
  </si>
  <si>
    <t>NON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</si>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</sst>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8"/>
      <color theme="1"/>
      <name val="Arial Nova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Arial Nova"/>
      <family val="2"/>
    </font>
    <font>
      <sz val="11"/>
      <color theme="1"/>
      <name val="Arial Nova"/>
      <family val="2"/>
    </font>
    <font>
      <sz val="12"/>
      <color theme="1"/>
      <name val="Arial Nova"/>
      <family val="2"/>
    </font>
    <font>
      <b/>
      <sz val="14"/>
      <color rgb="FF85B4B5"/>
      <name val="Arial Nova"/>
      <family val="2"/>
    </font>
    <font>
      <b/>
      <sz val="14"/>
      <color rgb="FFF49768"/>
      <name val="Arial Nova"/>
      <family val="2"/>
    </font>
    <font>
      <b/>
      <sz val="11"/>
      <color theme="1"/>
      <name val="Arial Nova"/>
      <family val="2"/>
    </font>
    <font>
      <b/>
      <sz val="16"/>
      <color theme="1"/>
      <name val="Arial Nova"/>
      <family val="2"/>
    </font>
    <font>
      <sz val="16"/>
      <color theme="1"/>
      <name val="Arial Nova"/>
      <family val="2"/>
    </font>
    <font>
      <sz val="16"/>
      <color theme="0"/>
      <name val="Arial Nov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0F537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A72D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9" fillId="8" borderId="2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14" fontId="10" fillId="2" borderId="1" xfId="0" applyNumberFormat="1" applyFont="1" applyFill="1" applyBorder="1" applyAlignment="1">
      <alignment vertical="center" wrapText="1"/>
    </xf>
    <xf numFmtId="0" fontId="10" fillId="2" borderId="6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14" fontId="10" fillId="3" borderId="1" xfId="0" applyNumberFormat="1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14" fontId="10" fillId="4" borderId="1" xfId="0" applyNumberFormat="1" applyFont="1" applyFill="1" applyBorder="1" applyAlignment="1">
      <alignment vertical="center" wrapText="1"/>
    </xf>
    <xf numFmtId="0" fontId="10" fillId="4" borderId="6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3" fontId="10" fillId="5" borderId="1" xfId="0" applyNumberFormat="1" applyFont="1" applyFill="1" applyBorder="1" applyAlignment="1">
      <alignment vertical="center" wrapText="1"/>
    </xf>
    <xf numFmtId="14" fontId="10" fillId="5" borderId="1" xfId="0" applyNumberFormat="1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6" borderId="5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14" fontId="10" fillId="6" borderId="1" xfId="0" applyNumberFormat="1" applyFont="1" applyFill="1" applyBorder="1" applyAlignment="1">
      <alignment vertical="center" wrapText="1"/>
    </xf>
    <xf numFmtId="0" fontId="10" fillId="6" borderId="6" xfId="0" applyFont="1" applyFill="1" applyBorder="1" applyAlignment="1">
      <alignment vertical="center" wrapText="1"/>
    </xf>
    <xf numFmtId="0" fontId="10" fillId="7" borderId="5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14" fontId="10" fillId="7" borderId="1" xfId="0" applyNumberFormat="1" applyFont="1" applyFill="1" applyBorder="1" applyAlignment="1">
      <alignment vertical="center" wrapText="1"/>
    </xf>
    <xf numFmtId="0" fontId="10" fillId="7" borderId="6" xfId="0" applyFont="1" applyFill="1" applyBorder="1" applyAlignment="1">
      <alignment vertical="center" wrapText="1"/>
    </xf>
    <xf numFmtId="0" fontId="11" fillId="9" borderId="7" xfId="0" applyFont="1" applyFill="1" applyBorder="1" applyAlignment="1">
      <alignment vertical="center" wrapText="1"/>
    </xf>
    <xf numFmtId="0" fontId="11" fillId="9" borderId="8" xfId="0" applyFont="1" applyFill="1" applyBorder="1" applyAlignment="1">
      <alignment vertical="center" wrapText="1"/>
    </xf>
    <xf numFmtId="3" fontId="11" fillId="9" borderId="8" xfId="0" applyNumberFormat="1" applyFont="1" applyFill="1" applyBorder="1" applyAlignment="1">
      <alignment vertical="center" wrapText="1"/>
    </xf>
    <xf numFmtId="14" fontId="11" fillId="9" borderId="8" xfId="0" applyNumberFormat="1" applyFont="1" applyFill="1" applyBorder="1" applyAlignment="1">
      <alignment vertical="center" wrapText="1"/>
    </xf>
    <xf numFmtId="0" fontId="11" fillId="9" borderId="9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6"/>
        <color theme="1"/>
        <name val="Arial Nov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rial Nov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rial Nova"/>
        <family val="2"/>
        <scheme val="none"/>
      </font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rial Nova"/>
        <family val="2"/>
        <scheme val="none"/>
      </font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rial Nov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rial Nov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rial Nov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rial Nov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rial Nova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 Nova"/>
        <family val="2"/>
        <scheme val="none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49768"/>
      <color rgb="FFF4B378"/>
      <color rgb="FF85B4B5"/>
      <color rgb="FFF0F537"/>
      <color rgb="FFFF6600"/>
      <color rgb="FFAA72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25957</xdr:colOff>
      <xdr:row>0</xdr:row>
      <xdr:rowOff>0</xdr:rowOff>
    </xdr:from>
    <xdr:to>
      <xdr:col>1</xdr:col>
      <xdr:colOff>1735561</xdr:colOff>
      <xdr:row>5</xdr:row>
      <xdr:rowOff>247650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65AC849-6332-FE5C-8221-1267E45AC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746" y="0"/>
          <a:ext cx="1701984" cy="1131094"/>
        </a:xfrm>
        <a:prstGeom prst="rect">
          <a:avLst/>
        </a:prstGeom>
      </xdr:spPr>
    </xdr:pic>
    <xdr:clientData/>
  </xdr:twoCellAnchor>
  <xdr:twoCellAnchor editAs="oneCell">
    <xdr:from>
      <xdr:col>9</xdr:col>
      <xdr:colOff>1160858</xdr:colOff>
      <xdr:row>0</xdr:row>
      <xdr:rowOff>0</xdr:rowOff>
    </xdr:from>
    <xdr:to>
      <xdr:col>10</xdr:col>
      <xdr:colOff>819846</xdr:colOff>
      <xdr:row>6</xdr:row>
      <xdr:rowOff>18655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7D1BCFC0-AC6E-FB49-189D-31B80C275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61913" y="0"/>
          <a:ext cx="1799035" cy="119820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408DA6-D424-4288-8FA8-08562159CBEE}" name="Tableau1" displayName="Tableau1" ref="B35:K45" totalsRowShown="0" headerRowDxfId="14" dataDxfId="13" headerRowBorderDxfId="11" tableBorderDxfId="12" totalsRowBorderDxfId="10">
  <autoFilter ref="B35:K45" xr:uid="{31408DA6-D424-4288-8FA8-08562159CBEE}"/>
  <tableColumns count="10">
    <tableColumn id="1" xr3:uid="{CCC171D0-3CF2-46A7-9291-D862DFC5DF7C}" name="Phase / Tâche" dataDxfId="9"/>
    <tableColumn id="11" xr3:uid="{483062E2-5395-4747-A09E-E28DB37A1A99}" name="Responsable" dataDxfId="8"/>
    <tableColumn id="2" xr3:uid="{5630556D-29C5-4F8F-9BD5-A082E5C903F3}" name="Durée (j)" dataDxfId="7"/>
    <tableColumn id="3" xr3:uid="{66538816-36DA-424F-B291-DDCCF5D84C3A}" name="TJM (€)" dataDxfId="6"/>
    <tableColumn id="4" xr3:uid="{69F27C17-3D58-43DE-AB76-66AB98D2A9C7}" name="Total (€)" dataDxfId="5">
      <calculatedColumnFormula>E36*D36</calculatedColumnFormula>
    </tableColumn>
    <tableColumn id="5" xr3:uid="{0D3B77B6-952D-4A4D-9FB8-49DAB523A4C9}" name="Début" dataDxfId="4"/>
    <tableColumn id="6" xr3:uid="{A75760A8-378B-4963-A9B0-278FF4A8F1E7}" name="Fin" dataDxfId="3"/>
    <tableColumn id="7" xr3:uid="{5F6CBE68-8298-43B8-9DB3-441AB5D5E7A1}" name="Dépendances" dataDxfId="2"/>
    <tableColumn id="10" xr3:uid="{364A6A72-4178-4EE3-A210-8F4012C9F61D}" name="Tâches critiques" dataDxfId="1"/>
    <tableColumn id="8" xr3:uid="{090DC503-7FBC-4965-B325-B3078A385E7E}" name="Statu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6A258-7C11-47B6-B0EC-357DC2A3541C}">
  <dimension ref="B2:K45"/>
  <sheetViews>
    <sheetView showGridLines="0" tabSelected="1" topLeftCell="A13" zoomScale="70" zoomScaleNormal="66" workbookViewId="0">
      <selection activeCell="D20" sqref="D20"/>
    </sheetView>
  </sheetViews>
  <sheetFormatPr defaultColWidth="11.5703125" defaultRowHeight="14.45"/>
  <cols>
    <col min="2" max="2" width="40.7109375" bestFit="1" customWidth="1"/>
    <col min="3" max="3" width="41.42578125" customWidth="1"/>
    <col min="4" max="4" width="16.7109375" bestFit="1" customWidth="1"/>
    <col min="5" max="5" width="18.5703125" bestFit="1" customWidth="1"/>
    <col min="6" max="6" width="19.5703125" bestFit="1" customWidth="1"/>
    <col min="7" max="7" width="16.7109375" bestFit="1" customWidth="1"/>
    <col min="8" max="8" width="16.42578125" bestFit="1" customWidth="1"/>
    <col min="9" max="9" width="27.85546875" bestFit="1" customWidth="1"/>
    <col min="10" max="10" width="31.5703125" bestFit="1" customWidth="1"/>
    <col min="11" max="11" width="16.28515625" bestFit="1" customWidth="1"/>
  </cols>
  <sheetData>
    <row r="2" spans="2:11" s="44" customFormat="1"/>
    <row r="3" spans="2:11" s="44" customFormat="1"/>
    <row r="4" spans="2:11" s="4" customFormat="1"/>
    <row r="6" spans="2:11" ht="22.9">
      <c r="B6" s="42" t="s">
        <v>0</v>
      </c>
      <c r="C6" s="42"/>
      <c r="D6" s="42"/>
      <c r="E6" s="42"/>
      <c r="F6" s="42"/>
      <c r="G6" s="42"/>
      <c r="H6" s="42"/>
      <c r="I6" s="42"/>
      <c r="J6" s="42"/>
      <c r="K6" s="42"/>
    </row>
    <row r="7" spans="2:11" ht="22.9">
      <c r="B7" s="3"/>
      <c r="C7" s="3"/>
      <c r="D7" s="3"/>
      <c r="E7" s="3"/>
      <c r="F7" s="3"/>
      <c r="G7" s="3"/>
      <c r="H7" s="3"/>
      <c r="I7" s="3"/>
      <c r="J7" s="3"/>
      <c r="K7" s="2"/>
    </row>
    <row r="8" spans="2:11">
      <c r="I8" s="4"/>
      <c r="J8" s="4"/>
      <c r="K8" s="2"/>
    </row>
    <row r="9" spans="2:11">
      <c r="B9" s="4"/>
      <c r="C9" s="4"/>
      <c r="D9" s="4"/>
      <c r="E9" s="4"/>
      <c r="F9" s="4"/>
      <c r="G9" s="4"/>
      <c r="H9" s="4"/>
      <c r="I9" s="4"/>
      <c r="J9" s="4"/>
      <c r="K9" s="2"/>
    </row>
    <row r="10" spans="2:11" ht="17.45">
      <c r="B10" s="43" t="s">
        <v>1</v>
      </c>
      <c r="C10" s="43"/>
      <c r="D10" s="43"/>
      <c r="E10" s="43"/>
      <c r="F10" s="43"/>
      <c r="G10" s="43"/>
      <c r="H10" s="43"/>
      <c r="I10" s="43"/>
      <c r="J10" s="43"/>
      <c r="K10" s="43"/>
    </row>
    <row r="11" spans="2:11" ht="17.45">
      <c r="B11" s="43" t="s">
        <v>2</v>
      </c>
      <c r="C11" s="43"/>
      <c r="D11" s="43"/>
      <c r="E11" s="43"/>
      <c r="F11" s="43"/>
      <c r="G11" s="43"/>
      <c r="H11" s="43"/>
      <c r="I11" s="43"/>
      <c r="J11" s="43"/>
      <c r="K11" s="43"/>
    </row>
    <row r="12" spans="2:11" ht="15.6">
      <c r="B12" s="46" t="s">
        <v>3</v>
      </c>
      <c r="C12" s="46"/>
      <c r="D12" s="46"/>
      <c r="E12" s="46"/>
      <c r="F12" s="46"/>
      <c r="G12" s="46"/>
      <c r="H12" s="46"/>
      <c r="I12" s="46"/>
      <c r="J12" s="46"/>
      <c r="K12" s="46"/>
    </row>
    <row r="13" spans="2:11" ht="15.6">
      <c r="B13" s="46" t="s">
        <v>4</v>
      </c>
      <c r="C13" s="46"/>
      <c r="D13" s="46"/>
      <c r="E13" s="46"/>
      <c r="F13" s="46"/>
      <c r="G13" s="46"/>
      <c r="H13" s="46"/>
      <c r="I13" s="46"/>
      <c r="J13" s="46"/>
      <c r="K13" s="46"/>
    </row>
    <row r="14" spans="2:11" ht="15.6">
      <c r="B14" s="46" t="s">
        <v>5</v>
      </c>
      <c r="C14" s="46"/>
      <c r="D14" s="46"/>
      <c r="E14" s="46"/>
      <c r="F14" s="46"/>
      <c r="G14" s="46"/>
      <c r="H14" s="46"/>
      <c r="I14" s="46"/>
      <c r="J14" s="46"/>
      <c r="K14" s="46"/>
    </row>
    <row r="15" spans="2:11" ht="15.6">
      <c r="B15" s="5"/>
      <c r="C15" s="5"/>
      <c r="D15" s="5"/>
      <c r="E15" s="5"/>
      <c r="F15" s="5"/>
      <c r="G15" s="5"/>
      <c r="H15" s="5"/>
      <c r="I15" s="4"/>
      <c r="J15" s="4"/>
      <c r="K15" s="2"/>
    </row>
    <row r="16" spans="2:11" ht="15.6">
      <c r="B16" s="5"/>
      <c r="C16" s="5"/>
      <c r="D16" s="5"/>
      <c r="E16" s="5"/>
      <c r="F16" s="5"/>
      <c r="G16" s="5"/>
      <c r="H16" s="5"/>
      <c r="I16" s="4"/>
      <c r="J16" s="4"/>
      <c r="K16" s="2"/>
    </row>
    <row r="17" spans="2:11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2:11" ht="18">
      <c r="B18" s="6" t="s">
        <v>6</v>
      </c>
      <c r="C18" s="6"/>
      <c r="D18" s="6"/>
      <c r="E18" s="6"/>
      <c r="F18" s="6"/>
      <c r="G18" s="6"/>
      <c r="H18" s="6"/>
      <c r="I18" s="2"/>
      <c r="J18" s="2"/>
      <c r="K18" s="2"/>
    </row>
    <row r="19" spans="2:11">
      <c r="B19" s="1"/>
      <c r="C19" s="1"/>
      <c r="D19" s="2"/>
      <c r="E19" s="2"/>
      <c r="F19" s="2"/>
      <c r="G19" s="2"/>
      <c r="H19" s="2"/>
      <c r="I19" s="2"/>
      <c r="J19" s="2"/>
      <c r="K19" s="2"/>
    </row>
    <row r="20" spans="2:11" ht="15.6">
      <c r="B20" s="7" t="s">
        <v>7</v>
      </c>
      <c r="C20" s="7"/>
      <c r="D20" s="7"/>
      <c r="E20" s="7"/>
      <c r="F20" s="7"/>
      <c r="G20" s="7"/>
      <c r="H20" s="7"/>
      <c r="I20" s="2"/>
      <c r="J20" s="2"/>
      <c r="K20" s="2"/>
    </row>
    <row r="21" spans="2:11">
      <c r="B21" s="1"/>
      <c r="C21" s="1"/>
      <c r="D21" s="2"/>
      <c r="E21" s="2"/>
      <c r="F21" s="2"/>
      <c r="G21" s="2"/>
      <c r="H21" s="2"/>
      <c r="I21" s="2"/>
      <c r="J21" s="2"/>
      <c r="K21" s="2"/>
    </row>
    <row r="22" spans="2:11" ht="15.6">
      <c r="B22" s="8" t="s">
        <v>8</v>
      </c>
      <c r="C22" s="8"/>
      <c r="D22" s="8"/>
      <c r="E22" s="8"/>
      <c r="F22" s="8"/>
      <c r="G22" s="8"/>
      <c r="H22" s="8"/>
      <c r="I22" s="2"/>
      <c r="J22" s="2"/>
      <c r="K22" s="2"/>
    </row>
    <row r="23" spans="2:11">
      <c r="B23" s="1"/>
      <c r="C23" s="1"/>
      <c r="D23" s="2"/>
      <c r="E23" s="2"/>
      <c r="F23" s="2"/>
      <c r="G23" s="2"/>
      <c r="H23" s="2"/>
      <c r="I23" s="2"/>
      <c r="J23" s="2"/>
      <c r="K23" s="2"/>
    </row>
    <row r="24" spans="2:11" ht="15.6">
      <c r="B24" s="8" t="s">
        <v>9</v>
      </c>
      <c r="C24" s="8"/>
      <c r="D24" s="8"/>
      <c r="E24" s="8"/>
      <c r="F24" s="8"/>
      <c r="G24" s="8"/>
      <c r="H24" s="8"/>
      <c r="I24" s="2"/>
      <c r="J24" s="2"/>
      <c r="K24" s="2"/>
    </row>
    <row r="25" spans="2:11">
      <c r="B25" s="1"/>
      <c r="C25" s="1"/>
      <c r="D25" s="2"/>
      <c r="E25" s="2"/>
      <c r="F25" s="2"/>
      <c r="G25" s="2"/>
      <c r="H25" s="2"/>
      <c r="I25" s="2"/>
      <c r="J25" s="2"/>
      <c r="K25" s="2"/>
    </row>
    <row r="26" spans="2:11" ht="15.6">
      <c r="B26" s="8" t="s">
        <v>10</v>
      </c>
      <c r="C26" s="8"/>
      <c r="D26" s="8"/>
      <c r="E26" s="8"/>
      <c r="F26" s="8"/>
      <c r="G26" s="8"/>
      <c r="H26" s="8"/>
      <c r="I26" s="2"/>
      <c r="J26" s="2"/>
      <c r="K26" s="2"/>
    </row>
    <row r="27" spans="2:11">
      <c r="B27" s="1"/>
      <c r="C27" s="1"/>
      <c r="D27" s="2"/>
      <c r="E27" s="2"/>
      <c r="F27" s="2"/>
      <c r="G27" s="2"/>
      <c r="H27" s="2"/>
      <c r="I27" s="2"/>
      <c r="J27" s="2"/>
      <c r="K27" s="2"/>
    </row>
    <row r="28" spans="2:11" ht="15.6">
      <c r="B28" s="8" t="s">
        <v>11</v>
      </c>
      <c r="C28" s="8"/>
      <c r="D28" s="8"/>
      <c r="E28" s="8"/>
      <c r="F28" s="8"/>
      <c r="G28" s="8"/>
      <c r="H28" s="8"/>
      <c r="I28" s="2"/>
      <c r="J28" s="2"/>
      <c r="K28" s="2"/>
    </row>
    <row r="29" spans="2:11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2:11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2:11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2:11" ht="22.9">
      <c r="B32" s="45" t="s">
        <v>12</v>
      </c>
      <c r="C32" s="45"/>
      <c r="D32" s="45"/>
      <c r="E32" s="45"/>
      <c r="F32" s="45"/>
      <c r="G32" s="45"/>
      <c r="H32" s="45"/>
      <c r="I32" s="2"/>
      <c r="J32" s="2"/>
      <c r="K32" s="2"/>
    </row>
    <row r="35" spans="2:11" ht="40.9">
      <c r="B35" s="9" t="s">
        <v>13</v>
      </c>
      <c r="C35" s="10" t="s">
        <v>14</v>
      </c>
      <c r="D35" s="10" t="s">
        <v>15</v>
      </c>
      <c r="E35" s="10" t="s">
        <v>16</v>
      </c>
      <c r="F35" s="10" t="s">
        <v>17</v>
      </c>
      <c r="G35" s="10" t="s">
        <v>18</v>
      </c>
      <c r="H35" s="10" t="s">
        <v>19</v>
      </c>
      <c r="I35" s="10" t="s">
        <v>20</v>
      </c>
      <c r="J35" s="10" t="s">
        <v>21</v>
      </c>
      <c r="K35" s="11" t="s">
        <v>22</v>
      </c>
    </row>
    <row r="36" spans="2:11" ht="20.45">
      <c r="B36" s="12" t="s">
        <v>23</v>
      </c>
      <c r="C36" s="13" t="s">
        <v>24</v>
      </c>
      <c r="D36" s="13">
        <v>3</v>
      </c>
      <c r="E36" s="13">
        <v>820</v>
      </c>
      <c r="F36" s="13">
        <f>E36*D36</f>
        <v>2460</v>
      </c>
      <c r="G36" s="14">
        <v>45981</v>
      </c>
      <c r="H36" s="14">
        <v>45983</v>
      </c>
      <c r="I36" s="13" t="s">
        <v>25</v>
      </c>
      <c r="J36" s="13" t="s">
        <v>26</v>
      </c>
      <c r="K36" s="15" t="s">
        <v>27</v>
      </c>
    </row>
    <row r="37" spans="2:11" ht="20.45">
      <c r="B37" s="16" t="s">
        <v>28</v>
      </c>
      <c r="C37" s="17" t="s">
        <v>29</v>
      </c>
      <c r="D37" s="17">
        <v>2</v>
      </c>
      <c r="E37" s="17">
        <v>850</v>
      </c>
      <c r="F37" s="17">
        <f t="shared" ref="F37:F44" si="0">E37*D37</f>
        <v>1700</v>
      </c>
      <c r="G37" s="18">
        <v>45984</v>
      </c>
      <c r="H37" s="18">
        <v>45985</v>
      </c>
      <c r="I37" s="17" t="s">
        <v>23</v>
      </c>
      <c r="J37" s="17" t="s">
        <v>26</v>
      </c>
      <c r="K37" s="19" t="s">
        <v>30</v>
      </c>
    </row>
    <row r="38" spans="2:11" ht="40.9">
      <c r="B38" s="16" t="s">
        <v>31</v>
      </c>
      <c r="C38" s="17" t="s">
        <v>32</v>
      </c>
      <c r="D38" s="17">
        <v>2</v>
      </c>
      <c r="E38" s="17">
        <v>900</v>
      </c>
      <c r="F38" s="17">
        <f t="shared" si="0"/>
        <v>1800</v>
      </c>
      <c r="G38" s="18">
        <v>45986</v>
      </c>
      <c r="H38" s="18">
        <v>45987</v>
      </c>
      <c r="I38" s="17" t="s">
        <v>33</v>
      </c>
      <c r="J38" s="17" t="s">
        <v>26</v>
      </c>
      <c r="K38" s="19" t="s">
        <v>30</v>
      </c>
    </row>
    <row r="39" spans="2:11" ht="40.9">
      <c r="B39" s="20" t="s">
        <v>34</v>
      </c>
      <c r="C39" s="21" t="s">
        <v>35</v>
      </c>
      <c r="D39" s="21">
        <v>2</v>
      </c>
      <c r="E39" s="21">
        <v>950</v>
      </c>
      <c r="F39" s="21">
        <f t="shared" si="0"/>
        <v>1900</v>
      </c>
      <c r="G39" s="22">
        <v>45988</v>
      </c>
      <c r="H39" s="22">
        <v>45989</v>
      </c>
      <c r="I39" s="21" t="s">
        <v>36</v>
      </c>
      <c r="J39" s="21" t="s">
        <v>26</v>
      </c>
      <c r="K39" s="23" t="s">
        <v>30</v>
      </c>
    </row>
    <row r="40" spans="2:11" ht="40.9">
      <c r="B40" s="20" t="s">
        <v>37</v>
      </c>
      <c r="C40" s="21" t="s">
        <v>38</v>
      </c>
      <c r="D40" s="21">
        <v>2</v>
      </c>
      <c r="E40" s="21">
        <v>900</v>
      </c>
      <c r="F40" s="21">
        <f t="shared" si="0"/>
        <v>1800</v>
      </c>
      <c r="G40" s="22">
        <v>45990</v>
      </c>
      <c r="H40" s="22">
        <v>45991</v>
      </c>
      <c r="I40" s="21" t="s">
        <v>39</v>
      </c>
      <c r="J40" s="21" t="s">
        <v>26</v>
      </c>
      <c r="K40" s="23" t="s">
        <v>30</v>
      </c>
    </row>
    <row r="41" spans="2:11" ht="40.9">
      <c r="B41" s="24" t="s">
        <v>40</v>
      </c>
      <c r="C41" s="25" t="s">
        <v>24</v>
      </c>
      <c r="D41" s="25">
        <v>1</v>
      </c>
      <c r="E41" s="26">
        <v>1000</v>
      </c>
      <c r="F41" s="25">
        <f t="shared" si="0"/>
        <v>1000</v>
      </c>
      <c r="G41" s="27">
        <v>45992</v>
      </c>
      <c r="H41" s="27">
        <v>45992</v>
      </c>
      <c r="I41" s="25" t="s">
        <v>41</v>
      </c>
      <c r="J41" s="25" t="s">
        <v>26</v>
      </c>
      <c r="K41" s="28" t="s">
        <v>30</v>
      </c>
    </row>
    <row r="42" spans="2:11" ht="20.45">
      <c r="B42" s="29" t="s">
        <v>42</v>
      </c>
      <c r="C42" s="30" t="s">
        <v>29</v>
      </c>
      <c r="D42" s="30">
        <v>5</v>
      </c>
      <c r="E42" s="30">
        <v>950</v>
      </c>
      <c r="F42" s="30">
        <f t="shared" si="0"/>
        <v>4750</v>
      </c>
      <c r="G42" s="31">
        <v>45993</v>
      </c>
      <c r="H42" s="31">
        <v>45999</v>
      </c>
      <c r="I42" s="30" t="s">
        <v>43</v>
      </c>
      <c r="J42" s="30" t="s">
        <v>26</v>
      </c>
      <c r="K42" s="32" t="s">
        <v>30</v>
      </c>
    </row>
    <row r="43" spans="2:11" ht="40.9">
      <c r="B43" s="24" t="s">
        <v>44</v>
      </c>
      <c r="C43" s="25" t="s">
        <v>32</v>
      </c>
      <c r="D43" s="25">
        <v>1</v>
      </c>
      <c r="E43" s="26">
        <v>1000</v>
      </c>
      <c r="F43" s="25">
        <f t="shared" si="0"/>
        <v>1000</v>
      </c>
      <c r="G43" s="27">
        <v>46000</v>
      </c>
      <c r="H43" s="27">
        <v>46000</v>
      </c>
      <c r="I43" s="25" t="s">
        <v>42</v>
      </c>
      <c r="J43" s="25" t="s">
        <v>26</v>
      </c>
      <c r="K43" s="28" t="s">
        <v>30</v>
      </c>
    </row>
    <row r="44" spans="2:11" ht="20.45">
      <c r="B44" s="33" t="s">
        <v>45</v>
      </c>
      <c r="C44" s="34" t="s">
        <v>35</v>
      </c>
      <c r="D44" s="34">
        <v>3</v>
      </c>
      <c r="E44" s="34">
        <v>900</v>
      </c>
      <c r="F44" s="34">
        <f t="shared" si="0"/>
        <v>2700</v>
      </c>
      <c r="G44" s="35">
        <v>46001</v>
      </c>
      <c r="H44" s="35">
        <v>46003</v>
      </c>
      <c r="I44" s="34" t="s">
        <v>46</v>
      </c>
      <c r="J44" s="34" t="s">
        <v>47</v>
      </c>
      <c r="K44" s="36" t="s">
        <v>30</v>
      </c>
    </row>
    <row r="45" spans="2:11" ht="20.45">
      <c r="B45" s="37" t="s">
        <v>48</v>
      </c>
      <c r="C45" s="38"/>
      <c r="D45" s="38">
        <f>D36+D37+D38+D39+D40+D41+D42+D43+D44</f>
        <v>21</v>
      </c>
      <c r="E45" s="39">
        <f>E36+E37+E38+E39+E40+E41+E42+E43+E44</f>
        <v>8270</v>
      </c>
      <c r="F45" s="38">
        <f>E45*D45</f>
        <v>173670</v>
      </c>
      <c r="G45" s="40"/>
      <c r="H45" s="40"/>
      <c r="I45" s="38"/>
      <c r="J45" s="38"/>
      <c r="K45" s="41"/>
    </row>
  </sheetData>
  <mergeCells count="8">
    <mergeCell ref="B6:K6"/>
    <mergeCell ref="B10:K10"/>
    <mergeCell ref="A2:XFD3"/>
    <mergeCell ref="B32:H32"/>
    <mergeCell ref="B11:K11"/>
    <mergeCell ref="B12:K12"/>
    <mergeCell ref="B13:K13"/>
    <mergeCell ref="B14:K14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f149ab-2f2b-46c2-821b-8eb17c9304c0" xsi:nil="true"/>
    <lcf76f155ced4ddcb4097134ff3c332f xmlns="d1b3fcd5-9573-4829-9b04-c6a4aff9075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00468DD3AD54A92290AB7F5B23909" ma:contentTypeVersion="10" ma:contentTypeDescription="Crée un document." ma:contentTypeScope="" ma:versionID="cf2441561498bc10c740a04299a64e69">
  <xsd:schema xmlns:xsd="http://www.w3.org/2001/XMLSchema" xmlns:xs="http://www.w3.org/2001/XMLSchema" xmlns:p="http://schemas.microsoft.com/office/2006/metadata/properties" xmlns:ns2="d1b3fcd5-9573-4829-9b04-c6a4aff90750" xmlns:ns3="def149ab-2f2b-46c2-821b-8eb17c9304c0" targetNamespace="http://schemas.microsoft.com/office/2006/metadata/properties" ma:root="true" ma:fieldsID="150a2d6aaaee4701def4df90bb2c5f40" ns2:_="" ns3:_="">
    <xsd:import namespace="d1b3fcd5-9573-4829-9b04-c6a4aff90750"/>
    <xsd:import namespace="def149ab-2f2b-46c2-821b-8eb17c9304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b3fcd5-9573-4829-9b04-c6a4aff907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df809d85-0f24-42ce-a366-0efc0a589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f149ab-2f2b-46c2-821b-8eb17c9304c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9caa1bc-86c0-4608-a673-fefa4d428707}" ma:internalName="TaxCatchAll" ma:showField="CatchAllData" ma:web="def149ab-2f2b-46c2-821b-8eb17c9304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E52810-5D06-4C59-BA6F-3FA81850A993}"/>
</file>

<file path=customXml/itemProps2.xml><?xml version="1.0" encoding="utf-8"?>
<ds:datastoreItem xmlns:ds="http://schemas.openxmlformats.org/officeDocument/2006/customXml" ds:itemID="{2DDE89ED-1A67-4C67-9D8E-4216E6D49737}"/>
</file>

<file path=customXml/itemProps3.xml><?xml version="1.0" encoding="utf-8"?>
<ds:datastoreItem xmlns:ds="http://schemas.openxmlformats.org/officeDocument/2006/customXml" ds:itemID="{A1CDB4EC-0212-4A31-A492-7F71698F6E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Loïc Wilfried YAMGA NGEULIEUTOU</dc:creator>
  <cp:keywords/>
  <dc:description/>
  <cp:lastModifiedBy>Loïc Wilfried YAMGA NGEULIEUTOU</cp:lastModifiedBy>
  <cp:revision/>
  <dcterms:created xsi:type="dcterms:W3CDTF">2025-11-20T18:17:43Z</dcterms:created>
  <dcterms:modified xsi:type="dcterms:W3CDTF">2025-11-20T21:08:31Z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0x0101006E000468DD3AD54A92290AB7F5B23909</vt:lpwstr>
  </property>
  <property fmtid="{D5CDD505-2E9C-101B-9397-08002B2CF9AE}" pid="3" name="MSIP_Label_47e7dfc5-2bf4-4a75-8664-2dc4b3bb1d09_Enabled">
    <vt:lpwstr>true</vt:lpwstr>
  </property>
  <property fmtid="{D5CDD505-2E9C-101B-9397-08002B2CF9AE}" pid="4" name="MSIP_Label_47e7dfc5-2bf4-4a75-8664-2dc4b3bb1d09_SetDate">
    <vt:lpwstr>2025-11-20T19:21:50Z</vt:lpwstr>
  </property>
  <property fmtid="{D5CDD505-2E9C-101B-9397-08002B2CF9AE}" pid="5" name="MSIP_Label_47e7dfc5-2bf4-4a75-8664-2dc4b3bb1d09_Method">
    <vt:lpwstr>Standard</vt:lpwstr>
  </property>
  <property fmtid="{D5CDD505-2E9C-101B-9397-08002B2CF9AE}" pid="6" name="MSIP_Label_47e7dfc5-2bf4-4a75-8664-2dc4b3bb1d09_Name">
    <vt:lpwstr>defa4170-0d19-0005-0004-bc88714345d2</vt:lpwstr>
  </property>
  <property fmtid="{D5CDD505-2E9C-101B-9397-08002B2CF9AE}" pid="7" name="MSIP_Label_47e7dfc5-2bf4-4a75-8664-2dc4b3bb1d09_SiteId">
    <vt:lpwstr>413600cf-bd4e-4c7c-8a61-69e73cddf731</vt:lpwstr>
  </property>
  <property fmtid="{D5CDD505-2E9C-101B-9397-08002B2CF9AE}" pid="8" name="MSIP_Label_47e7dfc5-2bf4-4a75-8664-2dc4b3bb1d09_ActionId">
    <vt:lpwstr>a4f18109-cd4f-4050-8b96-49febde91a4a</vt:lpwstr>
  </property>
  <property fmtid="{D5CDD505-2E9C-101B-9397-08002B2CF9AE}" pid="9" name="MSIP_Label_47e7dfc5-2bf4-4a75-8664-2dc4b3bb1d09_ContentBits">
    <vt:lpwstr>0</vt:lpwstr>
  </property>
  <property fmtid="{D5CDD505-2E9C-101B-9397-08002B2CF9AE}" pid="10" name="MSIP_Label_47e7dfc5-2bf4-4a75-8664-2dc4b3bb1d09_Tag">
    <vt:lpwstr>10, 3, 0, 2</vt:lpwstr>
  </property>
  <property fmtid="{D5CDD505-2E9C-101B-9397-08002B2CF9AE}" pid="11" name="MediaServiceImageTags">
    <vt:lpwstr/>
  </property>
</Properties>
</file>